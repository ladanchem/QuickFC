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.Important\2.Programing\Eluent_calculator\old\"/>
    </mc:Choice>
  </mc:AlternateContent>
  <xr:revisionPtr revIDLastSave="0" documentId="13_ncr:1_{5FDD16E6-97AC-48CA-9D79-E6699D80A81D}" xr6:coauthVersionLast="47" xr6:coauthVersionMax="47" xr10:uidLastSave="{00000000-0000-0000-0000-000000000000}"/>
  <bookViews>
    <workbookView xWindow="2374" yWindow="-103" windowWidth="24472" windowHeight="18034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F7" i="2"/>
  <c r="G7" i="2"/>
  <c r="F12" i="2"/>
  <c r="G12" i="2"/>
  <c r="F17" i="2"/>
  <c r="G17" i="2" s="1"/>
  <c r="F16" i="2"/>
  <c r="G16" i="2" s="1"/>
  <c r="F13" i="2"/>
  <c r="G13" i="2"/>
  <c r="F11" i="2"/>
  <c r="G11" i="2"/>
  <c r="F6" i="2"/>
  <c r="F8" i="2"/>
  <c r="G8" i="2" s="1"/>
  <c r="M52" i="1" a="1"/>
  <c r="M52" i="1" s="1"/>
  <c r="H58" i="1"/>
  <c r="I58" i="1" s="1"/>
  <c r="H63" i="1"/>
  <c r="H64" i="1"/>
  <c r="H62" i="1"/>
  <c r="J62" i="1"/>
  <c r="K62" i="1" s="1"/>
  <c r="G4" i="1"/>
  <c r="G63" i="1"/>
  <c r="G64" i="1"/>
  <c r="G62" i="1"/>
  <c r="H2" i="1"/>
  <c r="J63" i="1"/>
  <c r="K63" i="1" s="1"/>
  <c r="J64" i="1"/>
  <c r="K64" i="1"/>
  <c r="E64" i="1"/>
  <c r="F64" i="1" s="1"/>
  <c r="D64" i="1"/>
  <c r="E63" i="1"/>
  <c r="F63" i="1" s="1"/>
  <c r="D63" i="1"/>
  <c r="E62" i="1"/>
  <c r="F62" i="1" s="1"/>
  <c r="D62" i="1"/>
  <c r="H57" i="1"/>
  <c r="I57" i="1"/>
  <c r="I52" i="1"/>
  <c r="I53" i="1"/>
  <c r="H53" i="1"/>
  <c r="H51" i="1"/>
  <c r="H52" i="1"/>
  <c r="E53" i="1"/>
  <c r="F53" i="1" s="1"/>
  <c r="D53" i="1"/>
  <c r="E52" i="1"/>
  <c r="F52" i="1" s="1"/>
  <c r="D52" i="1"/>
  <c r="E51" i="1"/>
  <c r="F51" i="1" s="1"/>
  <c r="D51" i="1"/>
  <c r="E32" i="1"/>
  <c r="F32" i="1" s="1"/>
  <c r="E33" i="1"/>
  <c r="F33" i="1"/>
  <c r="E29" i="1"/>
  <c r="E19" i="1"/>
  <c r="E20" i="1"/>
  <c r="E21" i="1"/>
  <c r="E22" i="1"/>
  <c r="E23" i="1"/>
  <c r="E24" i="1"/>
  <c r="F19" i="1"/>
  <c r="E36" i="1"/>
  <c r="F36" i="1" s="1"/>
  <c r="E38" i="1"/>
  <c r="F38" i="1" s="1"/>
  <c r="E37" i="1"/>
  <c r="E41" i="1"/>
  <c r="E42" i="1"/>
  <c r="F42" i="1" s="1"/>
  <c r="E40" i="1"/>
  <c r="F40" i="1" s="1"/>
  <c r="F41" i="1"/>
  <c r="F37" i="1"/>
  <c r="G37" i="1"/>
  <c r="H20" i="1"/>
  <c r="H21" i="1"/>
  <c r="H22" i="1"/>
  <c r="G19" i="1"/>
  <c r="G20" i="1"/>
  <c r="G21" i="1"/>
  <c r="G23" i="1"/>
  <c r="H23" i="1"/>
  <c r="H41" i="1"/>
  <c r="H42" i="1"/>
  <c r="H40" i="1"/>
  <c r="H38" i="1"/>
  <c r="H37" i="1"/>
  <c r="H36" i="1"/>
  <c r="H33" i="1"/>
  <c r="H32" i="1"/>
  <c r="G41" i="1"/>
  <c r="G42" i="1"/>
  <c r="G38" i="1"/>
  <c r="G33" i="1"/>
  <c r="G40" i="1"/>
  <c r="G36" i="1"/>
  <c r="G32" i="1"/>
  <c r="G22" i="1"/>
  <c r="D42" i="1"/>
  <c r="D41" i="1"/>
  <c r="D40" i="1"/>
  <c r="D38" i="1"/>
  <c r="D37" i="1"/>
  <c r="D36" i="1"/>
  <c r="F21" i="1"/>
  <c r="E25" i="1"/>
  <c r="F46" i="1"/>
  <c r="E46" i="1"/>
  <c r="D46" i="1"/>
  <c r="E45" i="1"/>
  <c r="F45" i="1" s="1"/>
  <c r="F20" i="1"/>
  <c r="F22" i="1"/>
  <c r="F23" i="1"/>
  <c r="F24" i="1"/>
  <c r="D20" i="1"/>
  <c r="D21" i="1"/>
  <c r="D22" i="1"/>
  <c r="D23" i="1"/>
  <c r="D24" i="1"/>
  <c r="D25" i="1"/>
  <c r="F25" i="1" s="1"/>
  <c r="D19" i="1"/>
  <c r="D32" i="1"/>
  <c r="D33" i="1"/>
  <c r="E47" i="1"/>
  <c r="D47" i="1"/>
  <c r="F47" i="1" s="1"/>
  <c r="D45" i="1"/>
  <c r="D4" i="1"/>
  <c r="H3" i="1"/>
  <c r="H4" i="1"/>
  <c r="H5" i="1"/>
  <c r="H6" i="1"/>
  <c r="H7" i="1"/>
  <c r="G8" i="1"/>
  <c r="G2" i="1"/>
  <c r="D7" i="1"/>
  <c r="E7" i="1" s="1"/>
  <c r="F7" i="1" s="1"/>
  <c r="F2" i="1"/>
  <c r="F8" i="1"/>
  <c r="D6" i="1"/>
  <c r="E6" i="1" s="1"/>
  <c r="F6" i="1" s="1"/>
  <c r="D5" i="1"/>
  <c r="E4" i="1"/>
  <c r="F4" i="1" s="1"/>
  <c r="D3" i="1"/>
  <c r="E3" i="1" s="1"/>
  <c r="F3" i="1" s="1"/>
  <c r="J58" i="1" l="1"/>
  <c r="G7" i="1"/>
  <c r="G6" i="1"/>
  <c r="E5" i="1"/>
  <c r="F5" i="1" s="1"/>
  <c r="G5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<sst xmlns="http://schemas.openxmlformats.org/spreadsheetml/2006/main" count="13" uniqueCount="10">
  <si>
    <t>P</t>
  </si>
  <si>
    <t>EA</t>
  </si>
  <si>
    <t>Phy</t>
  </si>
  <si>
    <t>y</t>
  </si>
  <si>
    <t>x</t>
  </si>
  <si>
    <t>Rf</t>
  </si>
  <si>
    <t>Pentane</t>
  </si>
  <si>
    <t>Ethylacetate</t>
  </si>
  <si>
    <t>Answer</t>
  </si>
  <si>
    <t>P / ((E + P)*exp(1 - Rf1)))*exp(1-Rf2)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</si>
</sst>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2" fontId="0" fillId="4" borderId="0" xfId="0" applyNumberFormat="1" applyFill="1"/>
    <xf numFmtId="164" fontId="0" fillId="4" borderId="0" xfId="0" applyNumberFormat="1" applyFill="1"/>
    <xf numFmtId="2" fontId="0" fillId="0" borderId="0" xfId="0" applyNumberFormat="1" applyFill="1"/>
    <xf numFmtId="0" fontId="0" fillId="0" borderId="0" xfId="0" applyFill="1"/>
    <xf numFmtId="0" fontId="1" fillId="0" borderId="0" xfId="0" applyFon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Sheet1!$A$3:$A$8</c:f>
              <c:numCache>
                <c:formatCode>0.00</c:formatCode>
                <c:ptCount val="6"/>
                <c:pt idx="0">
                  <c:v>0.17</c:v>
                </c:pt>
                <c:pt idx="1">
                  <c:v>0.45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Sheet1!$D$3:$D$8</c:f>
              <c:numCache>
                <c:formatCode>0.000</c:formatCode>
                <c:ptCount val="6"/>
                <c:pt idx="0">
                  <c:v>4.7619047619047616E-2</c:v>
                </c:pt>
                <c:pt idx="1">
                  <c:v>9.0909090909090912E-2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9-4A77-B338-A8A507918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76175"/>
        <c:axId val="1132477423"/>
      </c:scatterChart>
      <c:valAx>
        <c:axId val="11324761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7423"/>
        <c:crosses val="autoZero"/>
        <c:crossBetween val="midCat"/>
      </c:valAx>
      <c:valAx>
        <c:axId val="113247742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Sheet1!$H$2:$H$8</c:f>
              <c:numCache>
                <c:formatCode>0.00</c:formatCode>
                <c:ptCount val="7"/>
                <c:pt idx="0">
                  <c:v>1</c:v>
                </c:pt>
                <c:pt idx="1">
                  <c:v>0.83</c:v>
                </c:pt>
                <c:pt idx="2">
                  <c:v>0.55000000000000004</c:v>
                </c:pt>
                <c:pt idx="3">
                  <c:v>0.4</c:v>
                </c:pt>
                <c:pt idx="4">
                  <c:v>0.19999999999999996</c:v>
                </c:pt>
                <c:pt idx="5">
                  <c:v>9.9999999999999978E-2</c:v>
                </c:pt>
              </c:numCache>
            </c:numRef>
          </c:xVal>
          <c:yVal>
            <c:numRef>
              <c:f>Sheet1!$G$2:$G$8</c:f>
              <c:numCache>
                <c:formatCode>0.00</c:formatCode>
                <c:ptCount val="7"/>
                <c:pt idx="0">
                  <c:v>1</c:v>
                </c:pt>
                <c:pt idx="1">
                  <c:v>0.95238095238095233</c:v>
                </c:pt>
                <c:pt idx="2">
                  <c:v>0.90909090909090906</c:v>
                </c:pt>
                <c:pt idx="3">
                  <c:v>0.875</c:v>
                </c:pt>
                <c:pt idx="4">
                  <c:v>0.83333333333333337</c:v>
                </c:pt>
                <c:pt idx="5">
                  <c:v>0.75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55-4EAD-8DEF-D29D2EC7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76175"/>
        <c:axId val="1132477423"/>
      </c:scatterChart>
      <c:valAx>
        <c:axId val="11324761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7423"/>
        <c:crosses val="autoZero"/>
        <c:crossBetween val="midCat"/>
      </c:valAx>
      <c:valAx>
        <c:axId val="113247742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Sheet1!$A$2:$A$8</c:f>
              <c:numCache>
                <c:formatCode>0.00</c:formatCode>
                <c:ptCount val="7"/>
                <c:pt idx="0">
                  <c:v>0</c:v>
                </c:pt>
                <c:pt idx="1">
                  <c:v>0.17</c:v>
                </c:pt>
                <c:pt idx="2">
                  <c:v>0.45</c:v>
                </c:pt>
                <c:pt idx="3">
                  <c:v>0.6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Sheet1!$F$2:$F$8</c:f>
              <c:numCache>
                <c:formatCode>0.00</c:formatCode>
                <c:ptCount val="7"/>
                <c:pt idx="0">
                  <c:v>2</c:v>
                </c:pt>
                <c:pt idx="1">
                  <c:v>1.3010299956639813</c:v>
                </c:pt>
                <c:pt idx="2">
                  <c:v>1</c:v>
                </c:pt>
                <c:pt idx="3">
                  <c:v>0.84509804001425681</c:v>
                </c:pt>
                <c:pt idx="4">
                  <c:v>0.69897000433601886</c:v>
                </c:pt>
                <c:pt idx="5">
                  <c:v>0.47712125471966244</c:v>
                </c:pt>
                <c:pt idx="6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C1-4448-B1C8-5F7A1B4F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76175"/>
        <c:axId val="1132477423"/>
      </c:scatterChart>
      <c:valAx>
        <c:axId val="113247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7423"/>
        <c:crosses val="autoZero"/>
        <c:crossBetween val="midCat"/>
      </c:valAx>
      <c:valAx>
        <c:axId val="11324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Sheet1!$G$62:$G$64</c:f>
              <c:numCache>
                <c:formatCode>0.00</c:formatCode>
                <c:ptCount val="3"/>
                <c:pt idx="0">
                  <c:v>0.9</c:v>
                </c:pt>
                <c:pt idx="1">
                  <c:v>0.7</c:v>
                </c:pt>
                <c:pt idx="2">
                  <c:v>0.30000000000000004</c:v>
                </c:pt>
              </c:numCache>
            </c:numRef>
          </c:xVal>
          <c:yVal>
            <c:numRef>
              <c:f>Sheet1!$H$62:$H$64</c:f>
              <c:numCache>
                <c:formatCode>0.00</c:formatCode>
                <c:ptCount val="3"/>
                <c:pt idx="0">
                  <c:v>0.25</c:v>
                </c:pt>
                <c:pt idx="1">
                  <c:v>0.4</c:v>
                </c:pt>
                <c:pt idx="2">
                  <c:v>0.66666666666666663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79-421B-A091-9F6174649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76175"/>
        <c:axId val="1132477423"/>
      </c:scatterChart>
      <c:valAx>
        <c:axId val="11324761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7423"/>
        <c:crosses val="autoZero"/>
        <c:crossBetween val="midCat"/>
      </c:valAx>
      <c:valAx>
        <c:axId val="113247742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7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489858</xdr:colOff>
      <xdr:row>0</xdr:row>
      <xdr:rowOff>70756</xdr:rowOff>
    </xdr:from>
    <xdr:to>
      <xdr:col>15</xdr:col>
      <xdr:colOff>489858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3B119-FD06-409C-9684-08CE0C0E0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228599</xdr:colOff>
      <xdr:row>16</xdr:row>
      <xdr:rowOff>119741</xdr:rowOff>
    </xdr:from>
    <xdr:to>
      <xdr:col>16</xdr:col>
      <xdr:colOff>228599</xdr:colOff>
      <xdr:row>31</xdr:row>
      <xdr:rowOff>87084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0A3D72-E84C-47FD-B4A4-0F85A6E53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125185</xdr:colOff>
      <xdr:row>32</xdr:row>
      <xdr:rowOff>5443</xdr:rowOff>
    </xdr:from>
    <xdr:to>
      <xdr:col>16</xdr:col>
      <xdr:colOff>125185</xdr:colOff>
      <xdr:row>46</xdr:row>
      <xdr:rowOff>157843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70ED2A-DFED-4D45-947E-98B652B10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391887</xdr:colOff>
      <xdr:row>60</xdr:row>
      <xdr:rowOff>174172</xdr:rowOff>
    </xdr:from>
    <xdr:to>
      <xdr:col>18</xdr:col>
      <xdr:colOff>391887</xdr:colOff>
      <xdr:row>75</xdr:row>
      <xdr:rowOff>141515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B1DF97-498C-413A-8328-18448513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opLeftCell="A19" workbookViewId="0">
      <selection activeCell="M52" sqref="M52"/>
    </sheetView>
  </sheetViews>
  <sheetFormatPr defaultRowHeight="14.6" x14ac:dyDescent="0.4"/>
  <cols>
    <col min="1" max="16384" width="9.23046875" style="1"/>
  </cols>
  <sheetData>
    <row r="1" spans="1:8" x14ac:dyDescent="0.4">
      <c r="A1" s="1" t="s">
        <v>5</v>
      </c>
      <c r="B1" s="1" t="s">
        <v>0</v>
      </c>
      <c r="C1" s="1" t="s">
        <v>1</v>
      </c>
      <c r="D1" s="1" t="s">
        <v>2</v>
      </c>
      <c r="G1" s="1" t="s">
        <v>3</v>
      </c>
      <c r="H1" s="1" t="s">
        <v>4</v>
      </c>
    </row>
    <row r="2" spans="1:8" x14ac:dyDescent="0.4">
      <c r="A2" s="1">
        <v>0</v>
      </c>
      <c r="D2" s="2">
        <v>0</v>
      </c>
      <c r="E2" s="1">
        <v>100</v>
      </c>
      <c r="F2" s="1">
        <f t="shared" ref="F2:F8" si="0">LOG(E2)</f>
        <v>2</v>
      </c>
      <c r="G2" s="1">
        <f>1-D2</f>
        <v>1</v>
      </c>
      <c r="H2" s="1">
        <f>1-A2</f>
        <v>1</v>
      </c>
    </row>
    <row r="3" spans="1:8" x14ac:dyDescent="0.4">
      <c r="A3" s="1">
        <v>0.17</v>
      </c>
      <c r="B3" s="1">
        <v>20</v>
      </c>
      <c r="C3" s="1">
        <v>1</v>
      </c>
      <c r="D3" s="2">
        <f>C3/(C3+B3)</f>
        <v>4.7619047619047616E-2</v>
      </c>
      <c r="E3" s="1">
        <f>1/D3-1</f>
        <v>20</v>
      </c>
      <c r="F3" s="1">
        <f>LOG(E3)</f>
        <v>1.3010299956639813</v>
      </c>
      <c r="G3" s="1">
        <f t="shared" ref="G3:G8" si="1">1-D3</f>
        <v>0.95238095238095233</v>
      </c>
      <c r="H3" s="1">
        <f t="shared" ref="H3:H7" si="2">1-A3</f>
        <v>0.83</v>
      </c>
    </row>
    <row r="4" spans="1:8" x14ac:dyDescent="0.4">
      <c r="A4" s="1">
        <v>0.45</v>
      </c>
      <c r="B4" s="1">
        <v>10</v>
      </c>
      <c r="C4" s="1">
        <v>1</v>
      </c>
      <c r="D4" s="2">
        <f>C4/(C4+B4)</f>
        <v>9.0909090909090912E-2</v>
      </c>
      <c r="E4" s="1">
        <f>1/D4-1</f>
        <v>10</v>
      </c>
      <c r="F4" s="1">
        <f t="shared" si="0"/>
        <v>1</v>
      </c>
      <c r="G4" s="1">
        <f>1-D4</f>
        <v>0.90909090909090906</v>
      </c>
      <c r="H4" s="1">
        <f t="shared" si="2"/>
        <v>0.55000000000000004</v>
      </c>
    </row>
    <row r="5" spans="1:8" x14ac:dyDescent="0.4">
      <c r="A5" s="1">
        <v>0.6</v>
      </c>
      <c r="B5" s="1">
        <v>7</v>
      </c>
      <c r="C5" s="1">
        <v>1</v>
      </c>
      <c r="D5" s="2">
        <f>C5/(C5+B5)</f>
        <v>0.125</v>
      </c>
      <c r="E5" s="1">
        <f>1/D5-1</f>
        <v>7</v>
      </c>
      <c r="F5" s="1">
        <f t="shared" si="0"/>
        <v>0.84509804001425681</v>
      </c>
      <c r="G5" s="1">
        <f t="shared" si="1"/>
        <v>0.875</v>
      </c>
      <c r="H5" s="1">
        <f t="shared" si="2"/>
        <v>0.4</v>
      </c>
    </row>
    <row r="6" spans="1:8" x14ac:dyDescent="0.4">
      <c r="A6" s="1">
        <v>0.8</v>
      </c>
      <c r="B6" s="1">
        <v>5</v>
      </c>
      <c r="C6" s="1">
        <v>1</v>
      </c>
      <c r="D6" s="2">
        <f>C6/(C6+B6)</f>
        <v>0.16666666666666666</v>
      </c>
      <c r="E6" s="1">
        <f t="shared" ref="E6:E7" si="3">1/D6-1</f>
        <v>5</v>
      </c>
      <c r="F6" s="1">
        <f t="shared" si="0"/>
        <v>0.69897000433601886</v>
      </c>
      <c r="G6" s="1">
        <f t="shared" si="1"/>
        <v>0.83333333333333337</v>
      </c>
      <c r="H6" s="1">
        <f t="shared" si="2"/>
        <v>0.19999999999999996</v>
      </c>
    </row>
    <row r="7" spans="1:8" x14ac:dyDescent="0.4">
      <c r="A7" s="1">
        <v>0.9</v>
      </c>
      <c r="B7" s="1">
        <v>3</v>
      </c>
      <c r="C7" s="1">
        <v>1</v>
      </c>
      <c r="D7" s="2">
        <f>C7/(C7+B7)</f>
        <v>0.25</v>
      </c>
      <c r="E7" s="1">
        <f t="shared" si="3"/>
        <v>3</v>
      </c>
      <c r="F7" s="1">
        <f t="shared" si="0"/>
        <v>0.47712125471966244</v>
      </c>
      <c r="G7" s="1">
        <f t="shared" si="1"/>
        <v>0.75</v>
      </c>
      <c r="H7" s="1">
        <f t="shared" si="2"/>
        <v>9.9999999999999978E-2</v>
      </c>
    </row>
    <row r="8" spans="1:8" x14ac:dyDescent="0.4">
      <c r="A8" s="1">
        <v>1</v>
      </c>
      <c r="D8" s="2">
        <v>1</v>
      </c>
      <c r="E8" s="1">
        <v>1E-4</v>
      </c>
      <c r="F8" s="1">
        <f t="shared" si="0"/>
        <v>-4</v>
      </c>
      <c r="G8" s="1">
        <f t="shared" si="1"/>
        <v>0</v>
      </c>
    </row>
    <row r="19" spans="1:9" x14ac:dyDescent="0.4">
      <c r="A19" s="1">
        <v>0.03</v>
      </c>
      <c r="B19" s="1">
        <v>100</v>
      </c>
      <c r="C19" s="1">
        <v>1</v>
      </c>
      <c r="D19" s="2">
        <f>1-C19/(C19+B19)</f>
        <v>0.99009900990099009</v>
      </c>
      <c r="E19" s="1">
        <f>0.15*LN(1-A19)+1</f>
        <v>0.99543111887729374</v>
      </c>
      <c r="F19" s="1">
        <f>(1/E19-1)^(-1)</f>
        <v>217.87196736860579</v>
      </c>
      <c r="G19" s="7">
        <f t="shared" ref="G19:G21" si="4">(C19/(B19+C19))/(1.5*A19)</f>
        <v>0.22002200220022003</v>
      </c>
    </row>
    <row r="20" spans="1:9" x14ac:dyDescent="0.4">
      <c r="A20" s="1">
        <v>0.17</v>
      </c>
      <c r="B20" s="1">
        <v>20</v>
      </c>
      <c r="C20" s="1">
        <v>1</v>
      </c>
      <c r="D20" s="2">
        <f>1-C20/(C20+B20)</f>
        <v>0.95238095238095233</v>
      </c>
      <c r="E20" s="1">
        <f t="shared" ref="E20:E24" si="5">0.15*LN(1-A20)+1</f>
        <v>0.97205056327127592</v>
      </c>
      <c r="F20" s="1">
        <f t="shared" ref="F20:F24" si="6">(1/E20-1)^(-1)</f>
        <v>34.778896358661953</v>
      </c>
      <c r="G20" s="7">
        <f t="shared" si="4"/>
        <v>0.18674136321195142</v>
      </c>
      <c r="H20" s="7">
        <f t="shared" ref="H20:H22" si="7">(C20/(B20+C20))*((A20)^0.5)</f>
        <v>1.9633836312465049E-2</v>
      </c>
    </row>
    <row r="21" spans="1:9" x14ac:dyDescent="0.4">
      <c r="A21" s="1">
        <v>0.45</v>
      </c>
      <c r="B21" s="1">
        <v>10</v>
      </c>
      <c r="C21" s="1">
        <v>1</v>
      </c>
      <c r="D21" s="2">
        <f t="shared" ref="D21:D25" si="8">1-C21/(C21+B21)</f>
        <v>0.90909090909090906</v>
      </c>
      <c r="E21" s="1">
        <f t="shared" si="5"/>
        <v>0.91032444988665695</v>
      </c>
      <c r="F21" s="1">
        <f t="shared" si="6"/>
        <v>10.151311575296456</v>
      </c>
      <c r="G21" s="7">
        <f t="shared" si="4"/>
        <v>0.13468013468013468</v>
      </c>
      <c r="H21" s="7">
        <f t="shared" si="7"/>
        <v>6.0983672113630628E-2</v>
      </c>
      <c r="I21" s="6">
        <v>0.15</v>
      </c>
    </row>
    <row r="22" spans="1:9" x14ac:dyDescent="0.4">
      <c r="A22" s="1">
        <v>0.6</v>
      </c>
      <c r="B22" s="1">
        <v>7</v>
      </c>
      <c r="C22" s="1">
        <v>1</v>
      </c>
      <c r="D22" s="2">
        <f t="shared" si="8"/>
        <v>0.875</v>
      </c>
      <c r="E22" s="1">
        <f t="shared" si="5"/>
        <v>0.86255639021887676</v>
      </c>
      <c r="F22" s="1">
        <f t="shared" si="6"/>
        <v>6.2757111195819402</v>
      </c>
      <c r="G22" s="7">
        <f>(C22/(B22+C22))/(1.5*A22)</f>
        <v>0.1388888888888889</v>
      </c>
      <c r="H22" s="7">
        <f t="shared" si="7"/>
        <v>9.6824583655185426E-2</v>
      </c>
    </row>
    <row r="23" spans="1:9" x14ac:dyDescent="0.4">
      <c r="A23" s="1">
        <v>0.8</v>
      </c>
      <c r="B23" s="1">
        <v>5</v>
      </c>
      <c r="C23" s="1">
        <v>1</v>
      </c>
      <c r="D23" s="2">
        <f t="shared" si="8"/>
        <v>0.83333333333333337</v>
      </c>
      <c r="E23" s="1">
        <f t="shared" si="5"/>
        <v>0.75858431313488495</v>
      </c>
      <c r="F23" s="1">
        <f t="shared" si="6"/>
        <v>3.1422328970640798</v>
      </c>
      <c r="G23" s="7">
        <f>(C23/(B23+C23))/(1.5*A23)</f>
        <v>0.13888888888888887</v>
      </c>
      <c r="H23" s="7">
        <f>(C23/(B23+C23))*((A23)^0.5)</f>
        <v>0.14907119849998596</v>
      </c>
    </row>
    <row r="24" spans="1:9" x14ac:dyDescent="0.4">
      <c r="A24" s="1">
        <v>0.9</v>
      </c>
      <c r="B24" s="1">
        <v>3</v>
      </c>
      <c r="C24" s="1">
        <v>1</v>
      </c>
      <c r="D24" s="2">
        <f t="shared" si="8"/>
        <v>0.75</v>
      </c>
      <c r="E24" s="1">
        <f t="shared" si="5"/>
        <v>0.65461223605089314</v>
      </c>
      <c r="F24" s="1">
        <f t="shared" si="6"/>
        <v>1.8952965460216789</v>
      </c>
    </row>
    <row r="25" spans="1:9" x14ac:dyDescent="0.4">
      <c r="A25" s="1">
        <v>1</v>
      </c>
      <c r="D25" s="2" t="e">
        <f t="shared" si="8"/>
        <v>#DIV/0!</v>
      </c>
      <c r="E25" s="1" t="e">
        <f t="shared" ref="E25" si="9">0.17*LN(1-A25)+1</f>
        <v>#NUM!</v>
      </c>
      <c r="F25" s="1" t="e">
        <f t="shared" ref="F25" si="10">1-D25</f>
        <v>#DIV/0!</v>
      </c>
    </row>
    <row r="29" spans="1:9" x14ac:dyDescent="0.4">
      <c r="E29" s="1">
        <f>LN(1-0.5)/0.5</f>
        <v>-1.3862943611198906</v>
      </c>
    </row>
    <row r="30" spans="1:9" x14ac:dyDescent="0.4">
      <c r="D30" s="2"/>
    </row>
    <row r="31" spans="1:9" x14ac:dyDescent="0.4">
      <c r="D31" s="2"/>
    </row>
    <row r="32" spans="1:9" x14ac:dyDescent="0.4">
      <c r="A32" s="1">
        <v>0.85</v>
      </c>
      <c r="B32" s="1">
        <v>100</v>
      </c>
      <c r="C32" s="1">
        <v>1</v>
      </c>
      <c r="D32" s="2">
        <f>1-C32/(C32+B32)</f>
        <v>0.99009900990099009</v>
      </c>
      <c r="E32" s="2">
        <f>-((C32/(B32+C32))/(1.5*A32))*LN(1-A32)</f>
        <v>1.4732051911363861E-2</v>
      </c>
      <c r="F32" s="1">
        <f>(1/E32-1)</f>
        <v>66.879206916765625</v>
      </c>
      <c r="G32" s="7">
        <f>(C32/(B32+C32))/(1.5*A32)</f>
        <v>7.7654824305960013E-3</v>
      </c>
      <c r="H32" s="7">
        <f>(C32/(B32+C32))*((A32)^0.5)</f>
        <v>9.1282618389038495E-3</v>
      </c>
    </row>
    <row r="33" spans="1:9" x14ac:dyDescent="0.4">
      <c r="A33" s="1">
        <v>0.99</v>
      </c>
      <c r="B33" s="1">
        <v>20</v>
      </c>
      <c r="C33" s="1">
        <v>1</v>
      </c>
      <c r="D33" s="2">
        <f>1-C33/(C33+B33)</f>
        <v>0.95238095238095233</v>
      </c>
      <c r="E33" s="2">
        <f>-(C33/(B33+C33))/(1.5*A33)*LN(1-A33)</f>
        <v>0.14767260496995643</v>
      </c>
      <c r="F33" s="1">
        <f>(1/E33-1)</f>
        <v>5.7717367090764542</v>
      </c>
      <c r="G33" s="7">
        <f>(C33/(B33+C33))/(1.5*A33)</f>
        <v>3.2066698733365401E-2</v>
      </c>
      <c r="H33" s="7">
        <f>(C33/(B33+C33))*((A33)^0.5)</f>
        <v>4.7380354147934282E-2</v>
      </c>
      <c r="I33" s="6">
        <v>6.0000000000000001E-3</v>
      </c>
    </row>
    <row r="35" spans="1:9" x14ac:dyDescent="0.4">
      <c r="D35" s="2"/>
    </row>
    <row r="36" spans="1:9" x14ac:dyDescent="0.4">
      <c r="A36" s="1">
        <v>0.03</v>
      </c>
      <c r="B36" s="1">
        <v>30</v>
      </c>
      <c r="C36" s="1">
        <v>1</v>
      </c>
      <c r="D36" s="2">
        <f>1-C36/(C36+B36)</f>
        <v>0.967741935483871</v>
      </c>
      <c r="E36" s="2">
        <f>(C36/(B36+C36))/(1.5*A36)*LN(1-A36)+1</f>
        <v>0.97816544266329131</v>
      </c>
      <c r="F36" s="1">
        <f>(1/E36-1)^(-1)</f>
        <v>44.798959171880256</v>
      </c>
      <c r="G36" s="7">
        <f>(C36/(B36+C36))/(1.5*A36)</f>
        <v>0.71684587813620071</v>
      </c>
      <c r="H36" s="7">
        <f>(C36/(B36+C36))*((A36)^0.5)</f>
        <v>5.5872606695770233E-3</v>
      </c>
    </row>
    <row r="37" spans="1:9" x14ac:dyDescent="0.4">
      <c r="A37" s="1">
        <v>7.0000000000000007E-2</v>
      </c>
      <c r="B37" s="1">
        <v>20</v>
      </c>
      <c r="C37" s="1">
        <v>1</v>
      </c>
      <c r="D37" s="2">
        <f>1-C37/(C37+B37)</f>
        <v>0.95238095238095233</v>
      </c>
      <c r="E37" s="2">
        <f t="shared" ref="E37:E38" si="11">(C37/(B37+C37))/(1.5*A37)*LN(1-A37)+1</f>
        <v>0.96708812116333986</v>
      </c>
      <c r="F37" s="1">
        <f>(1/E37-1)^(-1)</f>
        <v>29.384166305513826</v>
      </c>
      <c r="G37" s="7">
        <f>(C37/(B37+C37))/(1.5*A37)</f>
        <v>0.45351473922902485</v>
      </c>
      <c r="H37" s="7">
        <f>(C37/(B37+C37))*((A37)^0.5)</f>
        <v>1.2598815766974242E-2</v>
      </c>
      <c r="I37" s="6">
        <v>0.6</v>
      </c>
    </row>
    <row r="38" spans="1:9" x14ac:dyDescent="0.4">
      <c r="A38" s="1">
        <v>0.12</v>
      </c>
      <c r="B38" s="1">
        <v>15</v>
      </c>
      <c r="C38" s="1">
        <v>1</v>
      </c>
      <c r="D38" s="2">
        <f>1-C38/(C38+B38)</f>
        <v>0.9375</v>
      </c>
      <c r="E38" s="2">
        <f t="shared" si="11"/>
        <v>0.95561341267017885</v>
      </c>
      <c r="F38" s="1">
        <f>(1/E38-1)^(-1)</f>
        <v>21.529328343478021</v>
      </c>
      <c r="G38" s="7">
        <f t="shared" ref="G38" si="12">(C38/(B38+C38))/(1.5*A38)</f>
        <v>0.34722222222222221</v>
      </c>
      <c r="H38" s="7">
        <f>(C38/(B38+C38))*((A38)^0.5)</f>
        <v>2.1650635094610966E-2</v>
      </c>
    </row>
    <row r="40" spans="1:9" x14ac:dyDescent="0.4">
      <c r="A40" s="1">
        <v>0.3</v>
      </c>
      <c r="B40" s="1">
        <v>30</v>
      </c>
      <c r="C40" s="1">
        <v>1</v>
      </c>
      <c r="D40" s="2">
        <f>1-C40/(C40+B40)</f>
        <v>0.967741935483871</v>
      </c>
      <c r="E40" s="2">
        <f>(C40/(B40+C40))/(1.5*A40)*LN(1-A40)+1</f>
        <v>0.97443190366030596</v>
      </c>
      <c r="F40" s="1">
        <f>(1/E40-1)^(-1)</f>
        <v>38.111241866196906</v>
      </c>
      <c r="G40" s="7">
        <f>(C40/(B40+C40))/(1.5*A40)</f>
        <v>7.1684587813620082E-2</v>
      </c>
      <c r="H40" s="7">
        <f>(C40/(B40+C40))*((A40)^0.5)</f>
        <v>1.766846959694084E-2</v>
      </c>
    </row>
    <row r="41" spans="1:9" x14ac:dyDescent="0.4">
      <c r="A41" s="1">
        <v>0.55000000000000004</v>
      </c>
      <c r="B41" s="1">
        <v>20</v>
      </c>
      <c r="C41" s="1">
        <v>1</v>
      </c>
      <c r="D41" s="2">
        <f>1-C41/(C41+B41)</f>
        <v>0.95238095238095233</v>
      </c>
      <c r="E41" s="2">
        <f t="shared" ref="E41:E42" si="13">(C41/(B41+C41))/(1.5*A41)*LN(1-A41)+1</f>
        <v>0.95391008968439994</v>
      </c>
      <c r="F41" s="1">
        <f>(1/E41-1)^(-1)</f>
        <v>20.696722626546979</v>
      </c>
      <c r="G41" s="7">
        <f t="shared" ref="G41:G42" si="14">(C41/(B41+C41))/(1.5*A41)</f>
        <v>5.7720057720057713E-2</v>
      </c>
      <c r="H41" s="7">
        <f t="shared" ref="H41:H42" si="15">(C41/(B41+C41))*((A41)^0.5)</f>
        <v>3.5315230890931727E-2</v>
      </c>
      <c r="I41" s="6">
        <v>0.06</v>
      </c>
    </row>
    <row r="42" spans="1:9" x14ac:dyDescent="0.4">
      <c r="A42" s="1">
        <v>0.7</v>
      </c>
      <c r="B42" s="1">
        <v>15</v>
      </c>
      <c r="C42" s="1">
        <v>1</v>
      </c>
      <c r="D42" s="2">
        <f>1-C42/(C42+B42)</f>
        <v>0.9375</v>
      </c>
      <c r="E42" s="2">
        <f t="shared" si="13"/>
        <v>0.92833495212345618</v>
      </c>
      <c r="F42" s="1">
        <f>(1/E42-1)^(-1)</f>
        <v>12.953803557386632</v>
      </c>
      <c r="G42" s="7">
        <f t="shared" si="14"/>
        <v>5.9523809523809534E-2</v>
      </c>
      <c r="H42" s="7">
        <f t="shared" si="15"/>
        <v>5.2291251658379723E-2</v>
      </c>
    </row>
    <row r="45" spans="1:9" x14ac:dyDescent="0.4">
      <c r="A45" s="4">
        <v>0.85</v>
      </c>
      <c r="B45" s="4">
        <v>100</v>
      </c>
      <c r="C45" s="4">
        <v>1</v>
      </c>
      <c r="D45" s="5">
        <f>1-C45/(C45+B45)</f>
        <v>0.99009900990099009</v>
      </c>
      <c r="E45" s="5">
        <f>0.1*LN(1.755-A45)+1</f>
        <v>0.99001796647177887</v>
      </c>
      <c r="F45" s="4">
        <f>(1/E45-1)^(-1)</f>
        <v>99.179988092887143</v>
      </c>
    </row>
    <row r="46" spans="1:9" x14ac:dyDescent="0.4">
      <c r="A46" s="4">
        <v>0.999</v>
      </c>
      <c r="B46" s="4">
        <v>20</v>
      </c>
      <c r="C46" s="4">
        <v>1</v>
      </c>
      <c r="D46" s="5">
        <f>1-C46/(C46+B46)</f>
        <v>0.95238095238095233</v>
      </c>
      <c r="E46" s="5">
        <f>0.1*LN(1.755-A46)+1</f>
        <v>0.97202860971973959</v>
      </c>
      <c r="F46" s="4">
        <f>(1/E46-1)^(-1)</f>
        <v>34.750815028515191</v>
      </c>
    </row>
    <row r="47" spans="1:9" x14ac:dyDescent="0.4">
      <c r="A47" s="1">
        <v>0.85</v>
      </c>
      <c r="B47" s="1">
        <v>100</v>
      </c>
      <c r="C47" s="1">
        <v>1</v>
      </c>
      <c r="D47" s="2">
        <f>1-C47/(C47+B47)</f>
        <v>0.99009900990099009</v>
      </c>
      <c r="E47" s="2">
        <f>0.1*LN(1-A47)+1.18</f>
        <v>0.99028800151141183</v>
      </c>
      <c r="F47" s="1">
        <f t="shared" ref="F47" si="16">1/D47-1</f>
        <v>1.0000000000000009E-2</v>
      </c>
    </row>
    <row r="51" spans="1:13" x14ac:dyDescent="0.4">
      <c r="A51" s="1">
        <v>0.3</v>
      </c>
      <c r="B51" s="1">
        <v>30</v>
      </c>
      <c r="C51" s="1">
        <v>1</v>
      </c>
      <c r="D51" s="2">
        <f>1-C51/(C51+B51)</f>
        <v>0.967741935483871</v>
      </c>
      <c r="E51" s="2">
        <f>(C51/(B51+C51))/(1.5*A51)*LN(1-A51)+1</f>
        <v>0.97443190366030596</v>
      </c>
      <c r="F51" s="1">
        <f>(1/E51-1)^(-1)</f>
        <v>38.111241866196906</v>
      </c>
      <c r="H51" s="8">
        <f>-C51/((C51+B51)*LN(1-A51))</f>
        <v>9.0441072647004142E-2</v>
      </c>
      <c r="I51" s="8"/>
    </row>
    <row r="52" spans="1:13" x14ac:dyDescent="0.4">
      <c r="A52" s="1">
        <v>0.55000000000000004</v>
      </c>
      <c r="B52" s="1">
        <v>20</v>
      </c>
      <c r="C52" s="1">
        <v>1</v>
      </c>
      <c r="D52" s="2">
        <f>1-C52/(C52+B52)</f>
        <v>0.95238095238095233</v>
      </c>
      <c r="E52" s="2">
        <f t="shared" ref="E52:E53" si="17">(C52/(B52+C52))/(1.5*A52)*LN(1-A52)+1</f>
        <v>0.95391008968439994</v>
      </c>
      <c r="F52" s="1">
        <f>(1/E52-1)^(-1)</f>
        <v>20.696722626546979</v>
      </c>
      <c r="H52" s="8">
        <f>-C52/((C52+B52)*LN(1-A52))</f>
        <v>5.9635051540017713E-2</v>
      </c>
      <c r="I52" s="8">
        <f>1/(-H52*LN(1-A53))-1</f>
        <v>12.92777441510518</v>
      </c>
      <c r="M52" s="1" t="e" cm="1">
        <f t="array" aca="1" ref="M52" ca="1">-P / ((E + P) * math.exp(1 - Rf))</f>
        <v>#NAME?</v>
      </c>
    </row>
    <row r="53" spans="1:13" x14ac:dyDescent="0.4">
      <c r="A53" s="1">
        <v>0.7</v>
      </c>
      <c r="B53" s="1">
        <v>15</v>
      </c>
      <c r="C53" s="1">
        <v>1</v>
      </c>
      <c r="D53" s="2">
        <f>1-C53/(C53+B53)</f>
        <v>0.9375</v>
      </c>
      <c r="E53" s="2">
        <f t="shared" si="17"/>
        <v>0.92833495212345618</v>
      </c>
      <c r="F53" s="1">
        <f>(1/E53-1)^(-1)</f>
        <v>12.953803557386632</v>
      </c>
      <c r="H53" s="8">
        <f>-C53/((C53+B53)*LN(1-A53))</f>
        <v>5.1911471567658588E-2</v>
      </c>
      <c r="I53" s="8">
        <f>1/(-H53*LN(1-A52))-1</f>
        <v>23.124457360222298</v>
      </c>
    </row>
    <row r="57" spans="1:13" x14ac:dyDescent="0.4">
      <c r="H57" s="9">
        <f>-1/((1+30)*LN(1-0.5))</f>
        <v>4.653854970609559E-2</v>
      </c>
      <c r="I57" s="8">
        <f>1/(-H57*LN(1-0.3))-1</f>
        <v>59.244104506116685</v>
      </c>
    </row>
    <row r="58" spans="1:13" x14ac:dyDescent="0.4">
      <c r="H58" s="9">
        <f>-1/((1+1)*EXP(1-0.1))</f>
        <v>-0.20328482987029953</v>
      </c>
      <c r="I58" s="3">
        <f>-H58*EXP(1-0.6)</f>
        <v>0.30326532985631666</v>
      </c>
      <c r="J58" s="1">
        <f>1/I58-1</f>
        <v>2.2974425414002568</v>
      </c>
    </row>
    <row r="62" spans="1:13" x14ac:dyDescent="0.4">
      <c r="A62" s="1">
        <v>0.1</v>
      </c>
      <c r="B62" s="1">
        <v>3</v>
      </c>
      <c r="C62" s="1">
        <v>1</v>
      </c>
      <c r="D62" s="2">
        <f>1-C62/(C62+B62)</f>
        <v>0.75</v>
      </c>
      <c r="E62" s="2">
        <f>(C62/(B62+C62))/(1.5*A62)*LN(1-A62)+1</f>
        <v>0.82439914057028951</v>
      </c>
      <c r="F62" s="1">
        <f>(1/E62-1)^(-1)</f>
        <v>4.6947329486179425</v>
      </c>
      <c r="G62" s="1">
        <f>1-A62</f>
        <v>0.9</v>
      </c>
      <c r="H62" s="1">
        <f>1-D62</f>
        <v>0.25</v>
      </c>
      <c r="J62" s="8">
        <f>-C62/((C62+B62)*LN(1-A62))</f>
        <v>2.3728053952574761</v>
      </c>
      <c r="K62" s="8">
        <f>1/(-J62*LN(1-A63))-1</f>
        <v>0.18158583829117525</v>
      </c>
    </row>
    <row r="63" spans="1:13" x14ac:dyDescent="0.4">
      <c r="A63" s="1">
        <v>0.3</v>
      </c>
      <c r="B63" s="1">
        <v>1.5</v>
      </c>
      <c r="C63" s="1">
        <v>1</v>
      </c>
      <c r="D63" s="2">
        <f>1-C63/(C63+B63)</f>
        <v>0.6</v>
      </c>
      <c r="E63" s="2">
        <f t="shared" ref="E63:E64" si="18">(C63/(B63+C63))/(1.5*A63)*LN(1-A63)+1</f>
        <v>0.68295560538779332</v>
      </c>
      <c r="F63" s="1">
        <f>(1/E63-1)^(-1)</f>
        <v>2.1541324085642688</v>
      </c>
      <c r="G63" s="1">
        <f t="shared" ref="G63:G64" si="19">1-A63</f>
        <v>0.7</v>
      </c>
      <c r="H63" s="1">
        <f t="shared" ref="H63:H64" si="20">1-D63</f>
        <v>0.4</v>
      </c>
      <c r="J63" s="8">
        <f>-C63/((C63+B63)*LN(1-A63))</f>
        <v>1.1214693008228513</v>
      </c>
      <c r="K63" s="8">
        <f>1/(-J63*LN(1-A64))-1</f>
        <v>-0.25937915155313063</v>
      </c>
    </row>
    <row r="64" spans="1:13" x14ac:dyDescent="0.4">
      <c r="A64" s="1">
        <v>0.7</v>
      </c>
      <c r="B64" s="1">
        <v>1</v>
      </c>
      <c r="C64" s="1">
        <v>2</v>
      </c>
      <c r="D64" s="2">
        <f>1-C64/(C64+B64)</f>
        <v>0.33333333333333337</v>
      </c>
      <c r="E64" s="2">
        <f t="shared" si="18"/>
        <v>0.2355728226501993</v>
      </c>
      <c r="F64" s="1">
        <f>(1/E64-1)^(-1)</f>
        <v>0.30816908350499628</v>
      </c>
      <c r="G64" s="1">
        <f t="shared" si="19"/>
        <v>0.30000000000000004</v>
      </c>
      <c r="H64" s="1">
        <f t="shared" si="20"/>
        <v>0.66666666666666663</v>
      </c>
      <c r="J64" s="8">
        <f>-C64/((C64+B64)*LN(1-A64))</f>
        <v>0.55372236338835834</v>
      </c>
      <c r="K64" s="8">
        <f>1/(-J64*LN(1-A63))-1</f>
        <v>4.0633195215392561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2072-7420-4F94-A9D9-CCB63260A822}">
  <dimension ref="B3:J19"/>
  <sheetViews>
    <sheetView tabSelected="1" workbookViewId="0">
      <selection activeCell="B4" sqref="B4:D17"/>
    </sheetView>
  </sheetViews>
  <sheetFormatPr defaultRowHeight="14.6" x14ac:dyDescent="0.4"/>
  <cols>
    <col min="4" max="4" width="11.07421875" bestFit="1" customWidth="1"/>
    <col min="8" max="8" width="11.23046875" bestFit="1" customWidth="1"/>
  </cols>
  <sheetData>
    <row r="3" spans="2:10" x14ac:dyDescent="0.4">
      <c r="F3" s="14" t="s">
        <v>9</v>
      </c>
    </row>
    <row r="4" spans="2:10" x14ac:dyDescent="0.4">
      <c r="B4" s="12" t="s">
        <v>5</v>
      </c>
      <c r="C4" s="12" t="s">
        <v>6</v>
      </c>
      <c r="D4" s="12" t="s">
        <v>7</v>
      </c>
      <c r="F4" s="12" t="s">
        <v>8</v>
      </c>
      <c r="G4" s="12" t="s">
        <v>6</v>
      </c>
      <c r="H4" s="12" t="s">
        <v>7</v>
      </c>
    </row>
    <row r="6" spans="2:10" x14ac:dyDescent="0.4">
      <c r="B6" s="1">
        <v>0.03</v>
      </c>
      <c r="C6" s="1">
        <v>30</v>
      </c>
      <c r="D6" s="1">
        <v>1</v>
      </c>
      <c r="F6" s="1">
        <f>-(-C7/((D7+C7)*1.49^(1-B7)))*1.49^(1-B6)</f>
        <v>0.96769423032281476</v>
      </c>
      <c r="G6" s="13">
        <f>F6/(1-F6)</f>
        <v>29.954223037942764</v>
      </c>
      <c r="H6">
        <v>1</v>
      </c>
      <c r="J6">
        <v>1.49</v>
      </c>
    </row>
    <row r="7" spans="2:10" x14ac:dyDescent="0.4">
      <c r="B7" s="1">
        <v>7.0000000000000007E-2</v>
      </c>
      <c r="C7" s="1">
        <v>20</v>
      </c>
      <c r="D7" s="1">
        <v>1</v>
      </c>
      <c r="F7" s="1">
        <f>-(-C8/((D8+C8)*1.37^(1-B8)))*1.37^(1-B7)</f>
        <v>0.95237350481375083</v>
      </c>
      <c r="G7" s="13">
        <f>F7/(1-F7)</f>
        <v>19.996716136456797</v>
      </c>
      <c r="H7">
        <v>1</v>
      </c>
      <c r="J7">
        <v>1.37</v>
      </c>
    </row>
    <row r="8" spans="2:10" x14ac:dyDescent="0.4">
      <c r="B8" s="1">
        <v>0.12</v>
      </c>
      <c r="C8" s="1">
        <v>15</v>
      </c>
      <c r="D8" s="1">
        <v>1</v>
      </c>
      <c r="F8" s="1">
        <f>(C7/((D7+C7)*1.37^(1-B7)))*1.37^(1-B8)</f>
        <v>0.93750733125629393</v>
      </c>
      <c r="G8" s="13">
        <f>F8/(1-F8)</f>
        <v>15.00187702178609</v>
      </c>
      <c r="H8">
        <v>1</v>
      </c>
      <c r="J8">
        <v>1.37</v>
      </c>
    </row>
    <row r="9" spans="2:10" x14ac:dyDescent="0.4">
      <c r="B9" s="1"/>
      <c r="C9" s="1"/>
      <c r="D9" s="1"/>
    </row>
    <row r="10" spans="2:10" x14ac:dyDescent="0.4">
      <c r="B10" s="1"/>
      <c r="C10" s="1"/>
      <c r="D10" s="1"/>
    </row>
    <row r="11" spans="2:10" x14ac:dyDescent="0.4">
      <c r="B11" s="1">
        <v>0.3</v>
      </c>
      <c r="C11" s="1">
        <v>30</v>
      </c>
      <c r="D11" s="1">
        <v>1</v>
      </c>
      <c r="F11" s="1">
        <f>-(-C12/((D12+C12)*1.066^(1-B12)))*1.066^(1-B11)</f>
        <v>0.96772063580485979</v>
      </c>
      <c r="G11" s="13">
        <f>F11/(1-F11)</f>
        <v>29.979544515023438</v>
      </c>
      <c r="H11">
        <v>1</v>
      </c>
      <c r="J11">
        <v>1.0660000000000001</v>
      </c>
    </row>
    <row r="12" spans="2:10" x14ac:dyDescent="0.4">
      <c r="B12" s="1">
        <v>0.55000000000000004</v>
      </c>
      <c r="C12" s="1">
        <v>20</v>
      </c>
      <c r="D12" s="1">
        <v>1</v>
      </c>
      <c r="F12" s="1">
        <f>-(-C13/((D13+C13)*1.11^(1-B13)))*1.11^(1-B12)</f>
        <v>0.95229109503024689</v>
      </c>
      <c r="G12" s="13">
        <f>F12/(1-F12)</f>
        <v>19.960447543995997</v>
      </c>
      <c r="H12">
        <v>1</v>
      </c>
      <c r="J12">
        <v>1.1100000000000001</v>
      </c>
    </row>
    <row r="13" spans="2:10" x14ac:dyDescent="0.4">
      <c r="B13" s="1">
        <v>0.7</v>
      </c>
      <c r="C13" s="1">
        <v>15</v>
      </c>
      <c r="D13" s="1">
        <v>1</v>
      </c>
      <c r="F13" s="1">
        <f>(C12/((D12+C12)*1.11^(1-B12)))*1.11^(1-B13)</f>
        <v>0.93758846167597909</v>
      </c>
      <c r="G13" s="13">
        <f>F13/(1-F13)</f>
        <v>15.022678287599918</v>
      </c>
      <c r="H13">
        <v>1</v>
      </c>
      <c r="J13">
        <v>1.1100000000000001</v>
      </c>
    </row>
    <row r="14" spans="2:10" x14ac:dyDescent="0.4">
      <c r="B14" s="1"/>
      <c r="C14" s="1"/>
      <c r="D14" s="1"/>
    </row>
    <row r="15" spans="2:10" x14ac:dyDescent="0.4">
      <c r="B15" s="1"/>
      <c r="C15" s="1"/>
      <c r="D15" s="1"/>
    </row>
    <row r="16" spans="2:10" x14ac:dyDescent="0.4">
      <c r="B16" s="10">
        <v>0.85</v>
      </c>
      <c r="C16" s="10">
        <v>100</v>
      </c>
      <c r="D16" s="10">
        <v>1</v>
      </c>
      <c r="E16" s="11"/>
      <c r="F16" s="1">
        <f>-(-C17/((D17+C17)*1.298^(1-B17)))*1.298^(1-B16)</f>
        <v>0.99012181690400203</v>
      </c>
      <c r="G16" s="13">
        <f>F16/(1-F16)</f>
        <v>100.23319139580821</v>
      </c>
      <c r="H16">
        <v>1</v>
      </c>
      <c r="J16">
        <v>1.298</v>
      </c>
    </row>
    <row r="17" spans="2:10" x14ac:dyDescent="0.4">
      <c r="B17" s="10">
        <v>0.999</v>
      </c>
      <c r="C17" s="10">
        <v>20</v>
      </c>
      <c r="D17" s="10">
        <v>1</v>
      </c>
      <c r="E17" s="11"/>
      <c r="F17" s="1">
        <f>(C16/((D16+C16)*1.298^(1-B16)))*1.298^(1-B17)</f>
        <v>0.9523590147214861</v>
      </c>
      <c r="G17" s="13">
        <f>F17/(1-F17)</f>
        <v>19.990329947080255</v>
      </c>
      <c r="H17">
        <v>1</v>
      </c>
      <c r="J17">
        <v>1.298</v>
      </c>
    </row>
    <row r="18" spans="2:10" x14ac:dyDescent="0.4">
      <c r="B18" s="1"/>
      <c r="C18" s="1"/>
      <c r="D18" s="1"/>
    </row>
    <row r="19" spans="2:10" x14ac:dyDescent="0.4">
      <c r="B19" s="1"/>
      <c r="C19" s="1"/>
      <c r="D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 RWTH</dc:creator>
  <cp:lastModifiedBy>Dimi RWTH</cp:lastModifiedBy>
  <dcterms:created xsi:type="dcterms:W3CDTF">2026-07-29T12:10:33Z</dcterms:created>
  <dcterms:modified xsi:type="dcterms:W3CDTF">2026-08-04T18:01:47Z</dcterms:modified>
</cp:coreProperties>
</file>